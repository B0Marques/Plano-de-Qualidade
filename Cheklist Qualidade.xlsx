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<sst xmlns="http://schemas.openxmlformats.org/spreadsheetml/2006/main" count="42" uniqueCount="42">
  <si>
    <t>Nº</t>
  </si>
  <si>
    <t>Nome</t>
  </si>
  <si>
    <t>Check</t>
  </si>
  <si>
    <t>Não Conformidade</t>
  </si>
  <si>
    <t>Observações</t>
  </si>
  <si>
    <t>Data de Avaliação</t>
  </si>
  <si>
    <t>Responsável</t>
  </si>
  <si>
    <t>Já Ocorreu?</t>
  </si>
  <si>
    <t>Nº Escalonamentos</t>
  </si>
  <si>
    <t>Responsável Escalonamento</t>
  </si>
  <si>
    <t>SIM</t>
  </si>
  <si>
    <t>NÃO</t>
  </si>
  <si>
    <t>NC</t>
  </si>
  <si>
    <t>Descrição</t>
  </si>
  <si>
    <t>%</t>
  </si>
  <si>
    <t>O canvas pbb está de acordo com as propostas do projeto?</t>
  </si>
  <si>
    <t>Simples</t>
  </si>
  <si>
    <t>1 dia para resolução</t>
  </si>
  <si>
    <t>As expectativas estão alinhadas com os objetivos?</t>
  </si>
  <si>
    <t>Média</t>
  </si>
  <si>
    <t>2 dias para resolução</t>
  </si>
  <si>
    <t>As expectativas refletem os problemas?</t>
  </si>
  <si>
    <t>Complexa</t>
  </si>
  <si>
    <t>3 dias para resolução</t>
  </si>
  <si>
    <t>O valor do produto é desenvolvido na especificação?</t>
  </si>
  <si>
    <t>A equipe e os stakeholders têm um entendimento compartilhado dos objetivos e do escopo do projeto?</t>
  </si>
  <si>
    <t>Os objetivos do projeto estão alinhados com as necessidades e expectativas?</t>
  </si>
  <si>
    <t>Os envolvidos no projeto têm uma compreensão clara dos objetivos e do escopo?</t>
  </si>
  <si>
    <t>Os objetivos do projeto podem ser medidos?</t>
  </si>
  <si>
    <t>O cliente-alvo e categoria-segmento estão bem definidos?</t>
  </si>
  <si>
    <t>As personas estão bem representadas no Canvas?</t>
  </si>
  <si>
    <t>O modelo relacional é claro?</t>
  </si>
  <si>
    <t>Existe consistência entre os diferentes artefatos apresentados?</t>
  </si>
  <si>
    <t>As histórias de usuário seguem a estrutura: como, posso e para?</t>
  </si>
  <si>
    <t>As features estão bem representadas no Canvas?</t>
  </si>
  <si>
    <t>O diferenciado-chave e o benefício-chave estão bem definidos?</t>
  </si>
  <si>
    <t>O meta-valor está bem definido?</t>
  </si>
  <si>
    <t>Os Critérios de Aceite das User Stories seguem a estrutura: Dado que, Quando e Então?</t>
  </si>
  <si>
    <t>Os diagramas de atividade dão uma ideia clara de como o sistema deve ser?</t>
  </si>
  <si>
    <t>Os diagramas de maquina de estado dão uma ideia clara de como o sistema deve ser?</t>
  </si>
  <si>
    <t>As informações nos quadros, canvas e user stories estão alinhadas?</t>
  </si>
  <si>
    <t>Há informações suficientes para uma equipe implementar um projeto?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</si>
</sst>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1.0"/>
      <color theme="1"/>
      <name val="Calibri"/>
      <scheme val="minor"/>
    </font>
    <font>
      <sz val="11.0"/>
      <color rgb="FFFFFFFF"/>
      <name val="Calibri"/>
    </font>
    <font>
      <sz val="11.0"/>
      <color theme="1"/>
      <name val="Calibri"/>
    </font>
    <font>
      <sz val="11.0"/>
      <color theme="9"/>
      <name val="Calibri"/>
    </font>
    <font>
      <sz val="11.0"/>
      <color rgb="FFFF0000"/>
      <name val="Calibri"/>
    </font>
    <font>
      <b/>
      <sz val="11.0"/>
      <color rgb="FF000000"/>
      <name val="Calibri"/>
    </font>
    <font>
      <sz val="11.0"/>
      <color rgb="FF000000"/>
      <name val="Calibri"/>
    </font>
    <font>
      <sz val="11.0"/>
      <color rgb="FF000000"/>
      <name val="Docs-Calibri"/>
    </font>
    <font>
      <color theme="1"/>
      <name val="Calibri"/>
      <scheme val="minor"/>
    </font>
  </fonts>
  <fills count="7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DADADA"/>
        <bgColor rgb="FFDADADA"/>
      </patternFill>
    </fill>
    <fill>
      <patternFill patternType="solid">
        <fgColor rgb="FFFCE4D6"/>
        <bgColor rgb="FFFCE4D6"/>
      </patternFill>
    </fill>
  </fills>
  <borders count="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wrapText="1"/>
    </xf>
    <xf borderId="1" fillId="2" fontId="1" numFmtId="0" xfId="0" applyAlignment="1" applyBorder="1" applyFont="1">
      <alignment readingOrder="0" shrinkToFit="0" wrapText="1"/>
    </xf>
    <xf borderId="0" fillId="3" fontId="2" numFmtId="0" xfId="0" applyAlignment="1" applyFill="1" applyFont="1">
      <alignment shrinkToFit="0" wrapText="1"/>
    </xf>
    <xf borderId="0" fillId="0" fontId="2" numFmtId="0" xfId="0" applyAlignment="1" applyFont="1">
      <alignment shrinkToFit="0" wrapText="1"/>
    </xf>
    <xf borderId="1" fillId="4" fontId="3" numFmtId="0" xfId="0" applyAlignment="1" applyBorder="1" applyFill="1" applyFont="1">
      <alignment shrinkToFit="0" wrapText="1"/>
    </xf>
    <xf borderId="1" fillId="4" fontId="4" numFmtId="0" xfId="0" applyAlignment="1" applyBorder="1" applyFont="1">
      <alignment shrinkToFit="0" wrapText="1"/>
    </xf>
    <xf borderId="2" fillId="0" fontId="2" numFmtId="0" xfId="0" applyAlignment="1" applyBorder="1" applyFont="1">
      <alignment shrinkToFit="0" wrapText="1"/>
    </xf>
    <xf borderId="3" fillId="0" fontId="2" numFmtId="0" xfId="0" applyAlignment="1" applyBorder="1" applyFont="1">
      <alignment shrinkToFit="0" wrapText="1"/>
    </xf>
    <xf borderId="4" fillId="0" fontId="2" numFmtId="0" xfId="0" applyAlignment="1" applyBorder="1" applyFont="1">
      <alignment shrinkToFit="0" wrapText="1"/>
    </xf>
    <xf borderId="1" fillId="0" fontId="2" numFmtId="0" xfId="0" applyAlignment="1" applyBorder="1" applyFont="1">
      <alignment readingOrder="0" shrinkToFit="0" wrapText="1"/>
    </xf>
    <xf borderId="1" fillId="0" fontId="2" numFmtId="0" xfId="0" applyAlignment="1" applyBorder="1" applyFont="1">
      <alignment readingOrder="0" shrinkToFit="0" vertical="center" wrapText="1"/>
    </xf>
    <xf borderId="1" fillId="0" fontId="2" numFmtId="0" xfId="0" applyAlignment="1" applyBorder="1" applyFont="1">
      <alignment shrinkToFit="0" vertical="center" wrapText="1"/>
    </xf>
    <xf borderId="0" fillId="3" fontId="5" numFmtId="0" xfId="0" applyAlignment="1" applyFont="1">
      <alignment readingOrder="0" vertical="bottom"/>
    </xf>
    <xf borderId="0" fillId="3" fontId="6" numFmtId="0" xfId="0" applyAlignment="1" applyFont="1">
      <alignment readingOrder="0" vertical="bottom"/>
    </xf>
    <xf borderId="0" fillId="3" fontId="6" numFmtId="0" xfId="0" applyAlignment="1" applyFont="1">
      <alignment horizontal="right" readingOrder="0" vertical="bottom"/>
    </xf>
    <xf borderId="1" fillId="5" fontId="2" numFmtId="10" xfId="0" applyAlignment="1" applyBorder="1" applyFill="1" applyFont="1" applyNumberFormat="1">
      <alignment shrinkToFit="0" wrapText="1"/>
    </xf>
    <xf borderId="5" fillId="6" fontId="5" numFmtId="0" xfId="0" applyAlignment="1" applyBorder="1" applyFill="1" applyFont="1">
      <alignment readingOrder="0" vertical="top"/>
    </xf>
    <xf borderId="1" fillId="6" fontId="6" numFmtId="0" xfId="0" applyAlignment="1" applyBorder="1" applyFont="1">
      <alignment readingOrder="0" shrinkToFit="0" vertical="top" wrapText="1"/>
    </xf>
    <xf borderId="1" fillId="6" fontId="6" numFmtId="10" xfId="0" applyAlignment="1" applyBorder="1" applyFont="1" applyNumberFormat="1">
      <alignment horizontal="right" readingOrder="0" vertical="bottom"/>
    </xf>
    <xf borderId="0" fillId="3" fontId="2" numFmtId="10" xfId="0" applyAlignment="1" applyFont="1" applyNumberFormat="1">
      <alignment shrinkToFit="0" wrapText="1"/>
    </xf>
    <xf borderId="1" fillId="0" fontId="5" numFmtId="0" xfId="0" applyAlignment="1" applyBorder="1" applyFont="1">
      <alignment readingOrder="0" vertical="top"/>
    </xf>
    <xf borderId="1" fillId="0" fontId="6" numFmtId="0" xfId="0" applyAlignment="1" applyBorder="1" applyFont="1">
      <alignment readingOrder="0" shrinkToFit="0" vertical="top" wrapText="1"/>
    </xf>
    <xf borderId="1" fillId="0" fontId="6" numFmtId="10" xfId="0" applyAlignment="1" applyBorder="1" applyFont="1" applyNumberFormat="1">
      <alignment horizontal="right" readingOrder="0" vertical="bottom"/>
    </xf>
    <xf borderId="1" fillId="6" fontId="5" numFmtId="0" xfId="0" applyAlignment="1" applyBorder="1" applyFont="1">
      <alignment readingOrder="0" vertical="top"/>
    </xf>
    <xf borderId="0" fillId="3" fontId="5" numFmtId="0" xfId="0" applyAlignment="1" applyFont="1">
      <alignment readingOrder="0" vertical="top"/>
    </xf>
    <xf borderId="0" fillId="3" fontId="6" numFmtId="0" xfId="0" applyAlignment="1" applyFont="1">
      <alignment readingOrder="0" shrinkToFit="0" vertical="top" wrapText="1"/>
    </xf>
    <xf borderId="0" fillId="3" fontId="6" numFmtId="10" xfId="0" applyAlignment="1" applyFont="1" applyNumberFormat="1">
      <alignment horizontal="right" readingOrder="0" vertical="bottom"/>
    </xf>
    <xf borderId="0" fillId="0" fontId="2" numFmtId="0" xfId="0" applyAlignment="1" applyFont="1">
      <alignment shrinkToFit="0" wrapText="1"/>
    </xf>
    <xf borderId="0" fillId="0" fontId="2" numFmtId="10" xfId="0" applyAlignment="1" applyFont="1" applyNumberFormat="1">
      <alignment shrinkToFit="0" wrapText="1"/>
    </xf>
    <xf borderId="0" fillId="3" fontId="7" numFmtId="0" xfId="0" applyAlignment="1" applyFont="1">
      <alignment horizontal="left" readingOrder="0"/>
    </xf>
    <xf borderId="0" fillId="3" fontId="6" numFmtId="0" xfId="0" applyAlignment="1" applyFont="1">
      <alignment horizontal="left" readingOrder="0"/>
    </xf>
    <xf borderId="0" fillId="0" fontId="8" numFmtId="0" xfId="0" applyFont="1"/>
    <xf borderId="0" fillId="0" fontId="2" numFmtId="0" xfId="0" applyAlignment="1" applyFont="1">
      <alignment readingOrder="0" shrinkToFit="0" wrapText="1"/>
    </xf>
  </cellXfs>
  <cellStyles count="1">
    <cellStyle xfId="0" name="Normal" builtinId="0"/>
  </cellStyles>
  <dxfs count="7">
    <dxf>
      <font>
        <color rgb="FF9C0006"/>
      </font>
      <fill>
        <patternFill patternType="solid">
          <fgColor rgb="FFFFC7CE"/>
          <bgColor rgb="FFFFC7CE"/>
        </patternFill>
      </fill>
      <border/>
    </dxf>
    <dxf>
      <font>
        <color rgb="FF006100"/>
      </font>
      <fill>
        <patternFill patternType="solid">
          <fgColor rgb="FFC6EFCE"/>
          <bgColor rgb="FFC6EFCE"/>
        </patternFill>
      </fill>
      <border/>
    </dxf>
    <dxf>
      <font/>
      <fill>
        <patternFill patternType="none"/>
      </fill>
      <border/>
    </dxf>
    <dxf>
      <font/>
      <fill>
        <patternFill patternType="solid">
          <fgColor theme="5"/>
          <bgColor theme="5"/>
        </patternFill>
      </fill>
      <border/>
    </dxf>
    <dxf>
      <font/>
      <fill>
        <patternFill patternType="solid">
          <fgColor rgb="FFFBE4D5"/>
          <bgColor rgb="FFFBE4D5"/>
        </patternFill>
      </fill>
      <border/>
    </dxf>
    <dxf>
      <font/>
      <fill>
        <patternFill patternType="solid">
          <fgColor rgb="FFD9E2F3"/>
          <bgColor rgb="FFD9E2F3"/>
        </patternFill>
      </fill>
      <border/>
    </dxf>
    <dxf>
      <font/>
      <fill>
        <patternFill patternType="solid">
          <fgColor theme="0"/>
          <bgColor theme="0"/>
        </patternFill>
      </fill>
      <border/>
    </dxf>
  </dxfs>
  <tableStyles count="2">
    <tableStyle count="4" pivot="0" name="Sheet1-style">
      <tableStyleElement dxfId="3" type="headerRow"/>
      <tableStyleElement dxfId="4" type="firstRowStripe"/>
      <tableStyleElement dxfId="5" type="secondRowStripe"/>
      <tableStyleElement dxfId="6" type="totalRow"/>
    </tableStyle>
    <tableStyle count="3" pivot="0" name="Sheet1-style 2">
      <tableStyleElement dxfId="3" type="headerRow"/>
      <tableStyleElement dxfId="4" type="firstRowStripe"/>
      <tableStyleElement dxfId="5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757575"/>
                </a:solidFill>
                <a:latin typeface="+mn-lt"/>
              </a:defRPr>
            </a:pPr>
            <a:r>
              <a:rPr b="0" i="0" sz="1400">
                <a:solidFill>
                  <a:srgbClr val="757575"/>
                </a:solidFill>
                <a:latin typeface="+mn-lt"/>
              </a:rPr>
              <a:t>CHECK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dPt>
            <c:idx val="0"/>
            <c:spPr>
              <a:solidFill>
                <a:schemeClr val="accent1"/>
              </a:solidFill>
            </c:spPr>
          </c:dPt>
          <c:dLbls>
            <c:showLegendKey val="0"/>
            <c:showVal val="1"/>
            <c:showCatName val="0"/>
            <c:showSerName val="0"/>
            <c:showPercent val="0"/>
            <c:showBubbleSize val="0"/>
            <c:showLeaderLines val="1"/>
          </c:dLbls>
          <c:cat>
            <c:strRef>
              <c:f>Sheet1!$O$1:$P$1</c:f>
            </c:strRef>
          </c:cat>
          <c:val>
            <c:numRef>
              <c:f>Sheet1!$O$2:$P$2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b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% versus NC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Sheet1!$Q$3:$Q$5</c:f>
            </c:strRef>
          </c:cat>
          <c:val>
            <c:numRef>
              <c:f>Sheet1!$S$3:$S$5</c:f>
              <c:numCache/>
            </c:numRef>
          </c:val>
        </c:ser>
        <c:axId val="252355809"/>
        <c:axId val="520396818"/>
      </c:barChart>
      <c:catAx>
        <c:axId val="252355809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NC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20396818"/>
      </c:catAx>
      <c:valAx>
        <c:axId val="520396818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%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52355809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11</xdr:col>
      <xdr:colOff>552450</xdr:colOff>
      <xdr:row>0</xdr:row>
      <xdr:rowOff>114300</xdr:rowOff>
    </xdr:from>
    <xdr:ext cx="3152775" cy="2152650"/>
    <xdr:graphicFrame>
      <xdr:nvGraphicFramePr>
        <xdr:cNvPr id="1" name="Chart 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10</xdr:col>
      <xdr:colOff>600075</xdr:colOff>
      <xdr:row>12</xdr:row>
      <xdr:rowOff>142875</xdr:rowOff>
    </xdr:from>
    <xdr:ext cx="4286250" cy="3352800"/>
    <xdr:graphicFrame>
      <xdr:nvGraphicFramePr>
        <xdr:cNvPr id="2" name="Chart 2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tables/table1.xml><?xml version="1.0" encoding="utf-8"?>
<table xmlns="http://schemas.openxmlformats.org/spreadsheetml/2006/main" headerRowCount="0" ref="K1:M6" displayName="Table_1" id="1">
  <tableColumns count="3">
    <tableColumn name="Column1" id="1"/>
    <tableColumn name="Column2" id="2"/>
    <tableColumn name="Column3" id="3"/>
  </tableColumns>
  <tableStyleInfo name="Sheet1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.xml><?xml version="1.0" encoding="utf-8"?>
<table xmlns="http://schemas.openxmlformats.org/spreadsheetml/2006/main" ref="Q1:S5" displayName="Table_2" id="2">
  <tableColumns count="3">
    <tableColumn name="NC" id="1"/>
    <tableColumn name="Descrição" id="2"/>
    <tableColumn name="%" id="3"/>
  </tableColumns>
  <tableStyleInfo name="Sheet1-style 2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4" Type="http://schemas.openxmlformats.org/officeDocument/2006/relationships/table" Target="../tables/table1.xml"/><Relationship Id="rId5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71"/>
    <col customWidth="1" min="2" max="2" width="46.29"/>
    <col customWidth="1" min="3" max="3" width="9.14"/>
    <col customWidth="1" min="4" max="4" width="20.57"/>
    <col customWidth="1" min="5" max="5" width="18.29"/>
    <col customWidth="1" min="6" max="7" width="13.29"/>
    <col customWidth="1" min="8" max="8" width="12.57"/>
    <col customWidth="1" min="9" max="9" width="16.0"/>
    <col customWidth="1" min="10" max="10" width="21.43"/>
    <col customWidth="1" min="11" max="11" width="9.14"/>
    <col customWidth="1" min="12" max="12" width="53.86"/>
    <col customWidth="1" min="13" max="16" width="9.14"/>
    <col customWidth="1" min="17" max="17" width="11.0"/>
    <col customWidth="1" min="18" max="18" width="33.86"/>
    <col customWidth="1" min="19" max="19" width="6.86"/>
    <col customWidth="1" min="20" max="27" width="8.71"/>
  </cols>
  <sheetData>
    <row r="1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3"/>
      <c r="L1" s="3"/>
      <c r="M1" s="3"/>
      <c r="N1" s="4"/>
      <c r="O1" s="5" t="s">
        <v>10</v>
      </c>
      <c r="P1" s="6" t="s">
        <v>11</v>
      </c>
      <c r="Q1" s="7" t="s">
        <v>12</v>
      </c>
      <c r="R1" s="8" t="s">
        <v>13</v>
      </c>
      <c r="S1" s="9" t="s">
        <v>14</v>
      </c>
      <c r="T1" s="4"/>
      <c r="U1" s="4"/>
      <c r="V1" s="4"/>
      <c r="W1" s="4"/>
      <c r="X1" s="4"/>
      <c r="Y1" s="4"/>
      <c r="Z1" s="4"/>
      <c r="AA1" s="4"/>
    </row>
    <row r="2" ht="27.0" customHeight="1">
      <c r="A2" s="10">
        <v>1.0</v>
      </c>
      <c r="B2" s="11" t="s">
        <v>15</v>
      </c>
      <c r="C2" s="11"/>
      <c r="D2" s="11"/>
      <c r="E2" s="12"/>
      <c r="F2" s="12"/>
      <c r="G2" s="12"/>
      <c r="H2" s="12"/>
      <c r="I2" s="12"/>
      <c r="J2" s="12"/>
      <c r="K2" s="13"/>
      <c r="L2" s="14"/>
      <c r="M2" s="15"/>
      <c r="N2" s="4"/>
      <c r="O2" s="16" t="str">
        <f>COUNTIF(C:C,"SIM")/COUNTA(C3:C1001)</f>
        <v>#DIV/0!</v>
      </c>
      <c r="P2" s="16" t="str">
        <f>COUNTIF(C:C,"NÃO")/COUNTA(C3:C1001)</f>
        <v>#DIV/0!</v>
      </c>
      <c r="Q2" s="17" t="s">
        <v>16</v>
      </c>
      <c r="R2" s="18" t="s">
        <v>17</v>
      </c>
      <c r="S2" s="19">
        <f>COUNTIF(D:D,"Simples")/COUNTA(S:S)</f>
        <v>0</v>
      </c>
      <c r="T2" s="4"/>
      <c r="U2" s="4"/>
      <c r="V2" s="4"/>
      <c r="W2" s="4"/>
      <c r="X2" s="4"/>
      <c r="Y2" s="4"/>
      <c r="Z2" s="4"/>
      <c r="AA2" s="4"/>
    </row>
    <row r="3" ht="15.0" customHeight="1">
      <c r="A3" s="10">
        <v>2.0</v>
      </c>
      <c r="B3" s="11" t="s">
        <v>18</v>
      </c>
      <c r="C3" s="11"/>
      <c r="D3" s="11"/>
      <c r="E3" s="12"/>
      <c r="F3" s="12"/>
      <c r="G3" s="12"/>
      <c r="H3" s="12"/>
      <c r="I3" s="12"/>
      <c r="J3" s="12"/>
      <c r="K3" s="13"/>
      <c r="L3" s="14"/>
      <c r="M3" s="15"/>
      <c r="N3" s="4"/>
      <c r="O3" s="20"/>
      <c r="P3" s="20"/>
      <c r="Q3" s="21" t="s">
        <v>19</v>
      </c>
      <c r="R3" s="22" t="s">
        <v>20</v>
      </c>
      <c r="S3" s="23">
        <f>COUNTIF(D:D,"Média")/COUNTA(S:S)</f>
        <v>0</v>
      </c>
      <c r="T3" s="4"/>
      <c r="U3" s="4"/>
      <c r="V3" s="4"/>
      <c r="W3" s="4"/>
      <c r="X3" s="4"/>
      <c r="Y3" s="4"/>
      <c r="Z3" s="4"/>
      <c r="AA3" s="4"/>
    </row>
    <row r="4" ht="13.5" customHeight="1">
      <c r="A4" s="10">
        <v>3.0</v>
      </c>
      <c r="B4" s="11" t="s">
        <v>21</v>
      </c>
      <c r="C4" s="11"/>
      <c r="D4" s="11"/>
      <c r="E4" s="12"/>
      <c r="F4" s="12"/>
      <c r="G4" s="12"/>
      <c r="H4" s="12"/>
      <c r="I4" s="12"/>
      <c r="J4" s="12"/>
      <c r="K4" s="13"/>
      <c r="L4" s="14"/>
      <c r="M4" s="15"/>
      <c r="N4" s="4"/>
      <c r="O4" s="4"/>
      <c r="P4" s="4"/>
      <c r="Q4" s="24" t="s">
        <v>22</v>
      </c>
      <c r="R4" s="18" t="s">
        <v>23</v>
      </c>
      <c r="S4" s="19">
        <f>COUNTIF(D:D,"Complexa")/COUNTA(S:S)</f>
        <v>0</v>
      </c>
      <c r="T4" s="4"/>
      <c r="U4" s="4"/>
      <c r="V4" s="4"/>
      <c r="W4" s="4"/>
      <c r="X4" s="4"/>
      <c r="Y4" s="4"/>
      <c r="Z4" s="4"/>
      <c r="AA4" s="4"/>
    </row>
    <row r="5" ht="15.75" customHeight="1">
      <c r="A5" s="10">
        <v>4.0</v>
      </c>
      <c r="B5" s="11" t="s">
        <v>24</v>
      </c>
      <c r="C5" s="11"/>
      <c r="D5" s="11"/>
      <c r="E5" s="12"/>
      <c r="F5" s="12"/>
      <c r="G5" s="12"/>
      <c r="H5" s="12"/>
      <c r="I5" s="12"/>
      <c r="J5" s="12"/>
      <c r="K5" s="13"/>
      <c r="L5" s="14"/>
      <c r="M5" s="15"/>
      <c r="N5" s="4"/>
      <c r="O5" s="4"/>
      <c r="P5" s="4"/>
      <c r="Q5" s="25"/>
      <c r="R5" s="26"/>
      <c r="S5" s="27"/>
      <c r="T5" s="4"/>
      <c r="U5" s="4"/>
      <c r="V5" s="4"/>
      <c r="W5" s="4"/>
      <c r="X5" s="4"/>
      <c r="Y5" s="4"/>
      <c r="Z5" s="4"/>
      <c r="AA5" s="4"/>
    </row>
    <row r="6">
      <c r="A6" s="10">
        <v>5.0</v>
      </c>
      <c r="B6" s="11" t="s">
        <v>25</v>
      </c>
      <c r="C6" s="11"/>
      <c r="D6" s="11"/>
      <c r="E6" s="12"/>
      <c r="F6" s="12"/>
      <c r="G6" s="12"/>
      <c r="H6" s="12"/>
      <c r="I6" s="12"/>
      <c r="J6" s="12"/>
      <c r="K6" s="28"/>
      <c r="L6" s="28"/>
      <c r="M6" s="29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</row>
    <row r="7">
      <c r="A7" s="10">
        <v>6.0</v>
      </c>
      <c r="B7" s="11" t="s">
        <v>26</v>
      </c>
      <c r="C7" s="11"/>
      <c r="D7" s="11"/>
      <c r="E7" s="12"/>
      <c r="F7" s="12"/>
      <c r="G7" s="12"/>
      <c r="H7" s="12"/>
      <c r="I7" s="12"/>
      <c r="J7" s="12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</row>
    <row r="8">
      <c r="A8" s="10">
        <v>7.0</v>
      </c>
      <c r="B8" s="11" t="s">
        <v>27</v>
      </c>
      <c r="C8" s="11"/>
      <c r="D8" s="11"/>
      <c r="E8" s="12"/>
      <c r="F8" s="12"/>
      <c r="G8" s="12"/>
      <c r="H8" s="12"/>
      <c r="I8" s="12"/>
      <c r="J8" s="12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</row>
    <row r="9">
      <c r="A9" s="10">
        <v>8.0</v>
      </c>
      <c r="B9" s="11" t="s">
        <v>28</v>
      </c>
      <c r="C9" s="11"/>
      <c r="D9" s="11"/>
      <c r="E9" s="12"/>
      <c r="F9" s="12"/>
      <c r="G9" s="12"/>
      <c r="H9" s="12"/>
      <c r="I9" s="12"/>
      <c r="J9" s="12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</row>
    <row r="10">
      <c r="A10" s="10">
        <v>9.0</v>
      </c>
      <c r="B10" s="11" t="s">
        <v>29</v>
      </c>
      <c r="C10" s="11"/>
      <c r="D10" s="11"/>
      <c r="E10" s="12"/>
      <c r="F10" s="12"/>
      <c r="G10" s="12"/>
      <c r="H10" s="12"/>
      <c r="I10" s="12"/>
      <c r="J10" s="12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</row>
    <row r="11">
      <c r="A11" s="10">
        <v>10.0</v>
      </c>
      <c r="B11" s="11" t="s">
        <v>30</v>
      </c>
      <c r="C11" s="11"/>
      <c r="D11" s="11"/>
      <c r="E11" s="12"/>
      <c r="F11" s="12"/>
      <c r="G11" s="12"/>
      <c r="H11" s="12"/>
      <c r="I11" s="12"/>
      <c r="J11" s="12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</row>
    <row r="12">
      <c r="A12" s="10">
        <v>11.0</v>
      </c>
      <c r="B12" s="11" t="s">
        <v>31</v>
      </c>
      <c r="C12" s="11"/>
      <c r="D12" s="11"/>
      <c r="E12" s="12"/>
      <c r="F12" s="12"/>
      <c r="G12" s="12"/>
      <c r="H12" s="12"/>
      <c r="I12" s="12"/>
      <c r="J12" s="12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</row>
    <row r="13">
      <c r="A13" s="10">
        <v>12.0</v>
      </c>
      <c r="B13" s="11" t="s">
        <v>32</v>
      </c>
      <c r="C13" s="11"/>
      <c r="D13" s="30"/>
      <c r="E13" s="12"/>
      <c r="F13" s="12"/>
      <c r="G13" s="12"/>
      <c r="H13" s="12"/>
      <c r="I13" s="12"/>
      <c r="J13" s="12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</row>
    <row r="14">
      <c r="A14" s="10">
        <v>13.0</v>
      </c>
      <c r="B14" s="11" t="s">
        <v>33</v>
      </c>
      <c r="C14" s="11"/>
      <c r="D14" s="11"/>
      <c r="E14" s="12"/>
      <c r="F14" s="12"/>
      <c r="G14" s="12"/>
      <c r="H14" s="12"/>
      <c r="I14" s="12"/>
      <c r="J14" s="12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</row>
    <row r="15">
      <c r="A15" s="10">
        <v>14.0</v>
      </c>
      <c r="B15" s="31" t="s">
        <v>34</v>
      </c>
      <c r="C15" s="11"/>
      <c r="D15" s="11"/>
      <c r="E15" s="12"/>
      <c r="F15" s="12"/>
      <c r="G15" s="12"/>
      <c r="H15" s="12"/>
      <c r="I15" s="12"/>
      <c r="J15" s="12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</row>
    <row r="16">
      <c r="A16" s="10">
        <v>15.0</v>
      </c>
      <c r="B16" s="11" t="s">
        <v>35</v>
      </c>
      <c r="C16" s="11"/>
      <c r="D16" s="11"/>
      <c r="E16" s="12"/>
      <c r="F16" s="12"/>
      <c r="G16" s="12"/>
      <c r="H16" s="12"/>
      <c r="I16" s="12"/>
      <c r="J16" s="12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</row>
    <row r="17">
      <c r="A17" s="10">
        <v>16.0</v>
      </c>
      <c r="B17" s="11" t="s">
        <v>36</v>
      </c>
      <c r="C17" s="11"/>
      <c r="D17" s="11"/>
      <c r="E17" s="12"/>
      <c r="F17" s="12"/>
      <c r="G17" s="12"/>
      <c r="H17" s="12"/>
      <c r="I17" s="12"/>
      <c r="J17" s="12"/>
      <c r="K17" s="4"/>
      <c r="L17" s="4"/>
      <c r="M17" s="4"/>
      <c r="N17" s="4"/>
      <c r="O17" s="32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</row>
    <row r="18">
      <c r="A18" s="10">
        <v>17.0</v>
      </c>
      <c r="B18" s="11" t="s">
        <v>37</v>
      </c>
      <c r="C18" s="11"/>
      <c r="D18" s="11"/>
      <c r="E18" s="12"/>
      <c r="F18" s="12"/>
      <c r="G18" s="12"/>
      <c r="H18" s="12"/>
      <c r="I18" s="12"/>
      <c r="J18" s="12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</row>
    <row r="19">
      <c r="A19" s="10">
        <v>18.0</v>
      </c>
      <c r="B19" s="11" t="s">
        <v>38</v>
      </c>
      <c r="C19" s="11"/>
      <c r="D19" s="11"/>
      <c r="E19" s="12"/>
      <c r="F19" s="12"/>
      <c r="G19" s="12"/>
      <c r="H19" s="12"/>
      <c r="I19" s="12"/>
      <c r="J19" s="12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</row>
    <row r="20">
      <c r="A20" s="10">
        <v>19.0</v>
      </c>
      <c r="B20" s="11" t="s">
        <v>39</v>
      </c>
      <c r="C20" s="11"/>
      <c r="D20" s="11"/>
      <c r="E20" s="12"/>
      <c r="F20" s="12"/>
      <c r="G20" s="12"/>
      <c r="H20" s="12"/>
      <c r="I20" s="12"/>
      <c r="J20" s="12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</row>
    <row r="21">
      <c r="A21" s="10">
        <v>20.0</v>
      </c>
      <c r="B21" s="11" t="s">
        <v>40</v>
      </c>
      <c r="C21" s="11"/>
      <c r="D21" s="11"/>
      <c r="E21" s="12"/>
      <c r="F21" s="12"/>
      <c r="G21" s="12"/>
      <c r="H21" s="12"/>
      <c r="I21" s="12"/>
      <c r="J21" s="12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</row>
    <row r="22" ht="15.75" customHeight="1">
      <c r="A22" s="10">
        <v>21.0</v>
      </c>
      <c r="B22" s="11" t="s">
        <v>41</v>
      </c>
      <c r="C22" s="11"/>
      <c r="D22" s="11"/>
      <c r="E22" s="12"/>
      <c r="F22" s="12"/>
      <c r="G22" s="12"/>
      <c r="H22" s="12"/>
      <c r="I22" s="12"/>
      <c r="J22" s="12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</row>
    <row r="23" ht="15.75" customHeight="1">
      <c r="A23" s="10">
        <v>22.0</v>
      </c>
      <c r="B23" s="12"/>
      <c r="C23" s="11"/>
      <c r="D23" s="11"/>
      <c r="E23" s="12"/>
      <c r="F23" s="12"/>
      <c r="G23" s="12"/>
      <c r="H23" s="12"/>
      <c r="I23" s="12"/>
      <c r="J23" s="12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</row>
    <row r="24" ht="15.75" customHeight="1">
      <c r="A24" s="10">
        <v>23.0</v>
      </c>
      <c r="B24" s="12"/>
      <c r="C24" s="11"/>
      <c r="D24" s="11"/>
      <c r="E24" s="12"/>
      <c r="F24" s="12"/>
      <c r="G24" s="12"/>
      <c r="H24" s="12"/>
      <c r="I24" s="12"/>
      <c r="J24" s="12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</row>
    <row r="25" ht="15.75" customHeight="1">
      <c r="A25" s="10">
        <v>24.0</v>
      </c>
      <c r="B25" s="12"/>
      <c r="C25" s="11"/>
      <c r="D25" s="11"/>
      <c r="E25" s="12"/>
      <c r="F25" s="12"/>
      <c r="G25" s="12"/>
      <c r="H25" s="12"/>
      <c r="I25" s="12"/>
      <c r="J25" s="12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</row>
    <row r="26" ht="15.75" customHeight="1">
      <c r="A26" s="10">
        <v>25.0</v>
      </c>
      <c r="B26" s="12"/>
      <c r="C26" s="11"/>
      <c r="D26" s="11"/>
      <c r="E26" s="12"/>
      <c r="F26" s="12"/>
      <c r="G26" s="12"/>
      <c r="H26" s="12"/>
      <c r="I26" s="12"/>
      <c r="J26" s="12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</row>
    <row r="27" ht="15.75" customHeight="1">
      <c r="A27" s="10">
        <v>26.0</v>
      </c>
      <c r="B27" s="12"/>
      <c r="C27" s="11"/>
      <c r="D27" s="11"/>
      <c r="E27" s="12"/>
      <c r="F27" s="12"/>
      <c r="G27" s="12"/>
      <c r="H27" s="12"/>
      <c r="I27" s="12"/>
      <c r="J27" s="12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</row>
    <row r="28" ht="15.75" customHeight="1">
      <c r="A28" s="10">
        <v>27.0</v>
      </c>
      <c r="B28" s="12"/>
      <c r="C28" s="11"/>
      <c r="D28" s="11"/>
      <c r="E28" s="12"/>
      <c r="F28" s="12"/>
      <c r="G28" s="12"/>
      <c r="H28" s="12"/>
      <c r="I28" s="12"/>
      <c r="J28" s="12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</row>
    <row r="29" ht="15.75" customHeight="1">
      <c r="A29" s="10">
        <v>28.0</v>
      </c>
      <c r="B29" s="12"/>
      <c r="C29" s="11"/>
      <c r="D29" s="11"/>
      <c r="E29" s="12"/>
      <c r="F29" s="12"/>
      <c r="G29" s="12"/>
      <c r="H29" s="12"/>
      <c r="I29" s="12"/>
      <c r="J29" s="12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</row>
    <row r="30" ht="15.75" customHeight="1">
      <c r="A30" s="10">
        <v>29.0</v>
      </c>
      <c r="B30" s="12"/>
      <c r="C30" s="11"/>
      <c r="D30" s="11"/>
      <c r="E30" s="12"/>
      <c r="F30" s="12"/>
      <c r="G30" s="12"/>
      <c r="H30" s="12"/>
      <c r="I30" s="12"/>
      <c r="J30" s="12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</row>
    <row r="31" ht="15.75" customHeight="1">
      <c r="A31" s="10">
        <v>30.0</v>
      </c>
      <c r="B31" s="12"/>
      <c r="C31" s="11"/>
      <c r="D31" s="11"/>
      <c r="E31" s="12"/>
      <c r="F31" s="12"/>
      <c r="G31" s="12"/>
      <c r="H31" s="12"/>
      <c r="I31" s="12"/>
      <c r="J31" s="12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</row>
    <row r="32" ht="15.75" customHeight="1">
      <c r="A32" s="4"/>
      <c r="B32" s="4"/>
      <c r="C32" s="33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</row>
    <row r="33" ht="15.7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</row>
    <row r="34" ht="15.7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</row>
    <row r="35" ht="15.7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</row>
    <row r="36" ht="15.7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</row>
    <row r="37" ht="15.7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</row>
    <row r="38" ht="15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</row>
    <row r="39" ht="15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</row>
    <row r="40" ht="15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</row>
    <row r="41" ht="15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</row>
    <row r="42" ht="15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</row>
    <row r="43" ht="15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</row>
    <row r="44" ht="15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</row>
    <row r="45" ht="15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</row>
    <row r="46" ht="15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</row>
    <row r="47" ht="15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</row>
    <row r="48" ht="15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</row>
    <row r="49" ht="15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</row>
    <row r="50" ht="15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</row>
    <row r="51" ht="15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</row>
    <row r="52" ht="15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</row>
    <row r="53" ht="15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</row>
    <row r="54" ht="15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</row>
    <row r="55" ht="15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</row>
    <row r="56" ht="15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</row>
    <row r="57" ht="15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</row>
    <row r="58" ht="15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</row>
    <row r="59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</row>
    <row r="60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</row>
    <row r="61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</row>
    <row r="62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</row>
    <row r="63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</row>
    <row r="64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</row>
    <row r="65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</row>
    <row r="66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</row>
    <row r="67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</row>
    <row r="68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</row>
    <row r="69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</row>
    <row r="70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</row>
    <row r="71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</row>
    <row r="72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</row>
    <row r="73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</row>
    <row r="74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</row>
    <row r="75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</row>
    <row r="7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</row>
    <row r="77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</row>
    <row r="78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</row>
    <row r="79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</row>
    <row r="80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</row>
    <row r="81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</row>
    <row r="82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</row>
    <row r="83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</row>
    <row r="84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</row>
    <row r="85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</row>
    <row r="8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</row>
    <row r="87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</row>
    <row r="88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</row>
    <row r="89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</row>
    <row r="90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</row>
    <row r="91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</row>
    <row r="92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</row>
    <row r="93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</row>
    <row r="94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</row>
    <row r="95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</row>
    <row r="9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</row>
    <row r="97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</row>
    <row r="98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</row>
    <row r="99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</row>
    <row r="100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</row>
    <row r="101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</row>
    <row r="102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</row>
    <row r="103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</row>
    <row r="104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</row>
    <row r="105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</row>
    <row r="10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</row>
    <row r="107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</row>
    <row r="108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</row>
    <row r="109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</row>
    <row r="110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</row>
    <row r="111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</row>
    <row r="112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</row>
    <row r="113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</row>
    <row r="114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</row>
    <row r="115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</row>
    <row r="11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</row>
    <row r="117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</row>
    <row r="118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</row>
    <row r="119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</row>
    <row r="120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</row>
    <row r="121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</row>
    <row r="122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</row>
    <row r="1001" ht="15.75" customHeight="1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  <c r="AA1001" s="4"/>
    </row>
  </sheetData>
  <conditionalFormatting sqref="C1:C1001">
    <cfRule type="cellIs" dxfId="0" priority="1" operator="equal">
      <formula>"NÃO"</formula>
    </cfRule>
  </conditionalFormatting>
  <conditionalFormatting sqref="C2:C31">
    <cfRule type="cellIs" dxfId="1" priority="2" operator="equal">
      <formula>"SIM"</formula>
    </cfRule>
  </conditionalFormatting>
  <printOptions/>
  <pageMargins bottom="0.75" footer="0.0" header="0.0" left="0.7" right="0.7" top="0.75"/>
  <pageSetup orientation="landscape"/>
  <drawing r:id="rId1"/>
  <tableParts count="2">
    <tablePart r:id="rId4"/>
    <tablePart r:id="rId5"/>
  </tableParts>
</worksheet>
</file>